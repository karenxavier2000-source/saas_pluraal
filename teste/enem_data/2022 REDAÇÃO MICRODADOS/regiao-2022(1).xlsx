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<sst xmlns="http://schemas.openxmlformats.org/spreadsheetml/2006/main" count="68" uniqueCount="45">
  <si>
    <t>NOTAS POR REGIÃO - QUADRO DE NOTAS ZERO E A MÉDIA DE CADA ESTADO DO BRASIL</t>
  </si>
  <si>
    <t>Região</t>
  </si>
  <si>
    <t>Estado</t>
  </si>
  <si>
    <t>Sem problemas</t>
  </si>
  <si>
    <t>Faltou ou eliminado</t>
  </si>
  <si>
    <t>Em Branco</t>
  </si>
  <si>
    <t>Cópia Texto Motivador</t>
  </si>
  <si>
    <t>Anulada</t>
  </si>
  <si>
    <t>Não atendimento ao tipo textual</t>
  </si>
  <si>
    <t>Parte desconectada</t>
  </si>
  <si>
    <t>Texto insuficiente</t>
  </si>
  <si>
    <t>Fuga ao tema</t>
  </si>
  <si>
    <t>Média</t>
  </si>
  <si>
    <t>MÉDIA REGIÃO</t>
  </si>
  <si>
    <t>CO</t>
  </si>
  <si>
    <t>DF</t>
  </si>
  <si>
    <t>GO</t>
  </si>
  <si>
    <t>MS</t>
  </si>
  <si>
    <t>MT</t>
  </si>
  <si>
    <t>N</t>
  </si>
  <si>
    <t>AC</t>
  </si>
  <si>
    <t>AM</t>
  </si>
  <si>
    <t>AP</t>
  </si>
  <si>
    <t>PA</t>
  </si>
  <si>
    <t>RO</t>
  </si>
  <si>
    <t>RR</t>
  </si>
  <si>
    <t>TO</t>
  </si>
  <si>
    <t>NE</t>
  </si>
  <si>
    <t>AL</t>
  </si>
  <si>
    <t>BA</t>
  </si>
  <si>
    <t>CE</t>
  </si>
  <si>
    <t>MA</t>
  </si>
  <si>
    <t>PB</t>
  </si>
  <si>
    <t>PE</t>
  </si>
  <si>
    <t>PI</t>
  </si>
  <si>
    <t>RN</t>
  </si>
  <si>
    <t>SE</t>
  </si>
  <si>
    <t>S</t>
  </si>
  <si>
    <t>PR</t>
  </si>
  <si>
    <t>RS</t>
  </si>
  <si>
    <t>SC</t>
  </si>
  <si>
    <t>ES</t>
  </si>
  <si>
    <t>MG</t>
  </si>
  <si>
    <t>RJ</t>
  </si>
  <si>
    <t>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</si>
</sst>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4.0"/>
      <color theme="1"/>
      <name val="Calibri"/>
    </font>
    <font>
      <color theme="1"/>
      <name val="Calibri"/>
      <scheme val="minor"/>
    </font>
    <font>
      <sz val="12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DE9D9"/>
        <bgColor rgb="FFFDE9D9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rgb="FFFFFFCC"/>
      </patternFill>
    </fill>
    <fill>
      <patternFill patternType="solid">
        <fgColor rgb="FFDAEEF3"/>
        <bgColor rgb="FFDAEEF3"/>
      </patternFill>
    </fill>
    <fill>
      <patternFill patternType="solid">
        <fgColor rgb="FFE5DFEC"/>
        <bgColor rgb="FFE5DFEC"/>
      </patternFill>
    </fill>
    <fill>
      <patternFill patternType="solid">
        <fgColor rgb="FFF2DBDB"/>
        <bgColor rgb="FFF2DBD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vertical="center"/>
    </xf>
    <xf borderId="1" fillId="2" fontId="3" numFmtId="38" xfId="0" applyAlignment="1" applyBorder="1" applyFill="1" applyFont="1" applyNumberFormat="1">
      <alignment vertical="center"/>
    </xf>
    <xf borderId="1" fillId="2" fontId="3" numFmtId="40" xfId="0" applyAlignment="1" applyBorder="1" applyFill="1" applyFont="1" applyNumberFormat="1">
      <alignment vertical="center"/>
    </xf>
    <xf borderId="1" fillId="3" fontId="3" numFmtId="38" xfId="0" applyBorder="1" applyFill="1" applyFont="1" applyNumberFormat="1"/>
    <xf borderId="1" fillId="2" fontId="3" numFmtId="38" xfId="0" applyBorder="1" applyFill="1" applyFont="1" applyNumberFormat="1"/>
    <xf borderId="1" fillId="4" fontId="3" numFmtId="0" xfId="0" applyAlignment="1" applyBorder="1" applyFill="1" applyFont="1">
      <alignment vertical="center"/>
    </xf>
    <xf borderId="1" fillId="4" fontId="3" numFmtId="38" xfId="0" applyAlignment="1" applyBorder="1" applyFill="1" applyFont="1" applyNumberFormat="1">
      <alignment vertical="center"/>
    </xf>
    <xf borderId="1" fillId="4" fontId="3" numFmtId="40" xfId="0" applyAlignment="1" applyBorder="1" applyFill="1" applyFont="1" applyNumberFormat="1">
      <alignment vertical="center"/>
    </xf>
    <xf borderId="1" fillId="4" fontId="3" numFmtId="38" xfId="0" applyBorder="1" applyFill="1" applyFont="1" applyNumberFormat="1"/>
    <xf borderId="1" fillId="5" fontId="3" numFmtId="0" xfId="0" applyAlignment="1" applyBorder="1" applyFill="1" applyFont="1">
      <alignment vertical="center"/>
    </xf>
    <xf borderId="1" fillId="5" fontId="3" numFmtId="38" xfId="0" applyAlignment="1" applyBorder="1" applyFill="1" applyFont="1" applyNumberFormat="1">
      <alignment vertical="center"/>
    </xf>
    <xf borderId="1" fillId="5" fontId="3" numFmtId="40" xfId="0" applyAlignment="1" applyBorder="1" applyFill="1" applyFont="1" applyNumberFormat="1">
      <alignment vertical="center"/>
    </xf>
    <xf borderId="1" fillId="5" fontId="3" numFmtId="38" xfId="0" applyBorder="1" applyFill="1" applyFont="1" applyNumberFormat="1"/>
    <xf borderId="1" fillId="6" fontId="3" numFmtId="0" xfId="0" applyAlignment="1" applyBorder="1" applyFill="1" applyFont="1">
      <alignment vertical="center"/>
    </xf>
    <xf borderId="1" fillId="6" fontId="3" numFmtId="38" xfId="0" applyAlignment="1" applyBorder="1" applyFill="1" applyFont="1" applyNumberFormat="1">
      <alignment vertical="center"/>
    </xf>
    <xf borderId="1" fillId="6" fontId="3" numFmtId="40" xfId="0" applyAlignment="1" applyBorder="1" applyFill="1" applyFont="1" applyNumberFormat="1">
      <alignment vertical="center"/>
    </xf>
    <xf borderId="1" fillId="6" fontId="3" numFmtId="38" xfId="0" applyBorder="1" applyFill="1" applyFont="1" applyNumberFormat="1"/>
    <xf borderId="1" fillId="7" fontId="3" numFmtId="0" xfId="0" applyAlignment="1" applyBorder="1" applyFill="1" applyFont="1">
      <alignment vertical="center"/>
    </xf>
    <xf borderId="1" fillId="7" fontId="3" numFmtId="38" xfId="0" applyAlignment="1" applyBorder="1" applyFill="1" applyFont="1" applyNumberFormat="1">
      <alignment vertical="center"/>
    </xf>
    <xf borderId="1" fillId="7" fontId="3" numFmtId="40" xfId="0" applyAlignment="1" applyBorder="1" applyFill="1" applyFont="1" applyNumberFormat="1">
      <alignment vertical="center"/>
    </xf>
    <xf borderId="1" fillId="7" fontId="3" numFmtId="38" xfId="0" applyBorder="1" applyFill="1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M29" displayName="Table_1" name="Table_1" id="1">
  <tableColumns count="13">
    <tableColumn name="Região" id="1"/>
    <tableColumn name="Estado" id="2"/>
    <tableColumn name="Sem problemas" id="3"/>
    <tableColumn name="Faltou ou eliminado" id="4"/>
    <tableColumn name="Em Branco" id="5"/>
    <tableColumn name="Cópia Texto Motivador" id="6"/>
    <tableColumn name="Anulada" id="7"/>
    <tableColumn name="Não atendimento ao tipo textual" id="8"/>
    <tableColumn name="Parte desconectada" id="9"/>
    <tableColumn name="Texto insuficiente" id="10"/>
    <tableColumn name="Fuga ao tema" id="11"/>
    <tableColumn name="Média" id="12"/>
    <tableColumn name="MÉDIA REGIÃO" id="1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9.14"/>
    <col customWidth="1" min="3" max="3" width="17.0"/>
    <col customWidth="1" min="4" max="4" width="21.0"/>
    <col customWidth="1" min="5" max="5" width="12.43"/>
    <col customWidth="1" min="6" max="6" width="23.29"/>
    <col customWidth="1" min="7" max="7" width="10.57"/>
    <col customWidth="1" min="8" max="8" width="32.29"/>
    <col customWidth="1" min="9" max="9" width="20.57"/>
    <col customWidth="1" min="10" max="10" width="19.29"/>
    <col customWidth="1" min="11" max="11" width="15.0"/>
    <col customWidth="1" min="12" max="12" width="8.86"/>
    <col customWidth="1" min="13" max="13" width="16.57"/>
    <col customWidth="1" min="14" max="26" width="8.71"/>
  </cols>
  <sheetData>
    <row r="1" ht="33.0" customHeight="1">
      <c r="A1" s="1" t="s">
        <v>0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ht="14.25" customHeight="1">
      <c r="A3" s="3" t="s">
        <v>14</v>
      </c>
      <c r="B3" s="3" t="s">
        <v>15</v>
      </c>
      <c r="C3" s="4">
        <v>45324.0</v>
      </c>
      <c r="D3" s="4">
        <v>18019.0</v>
      </c>
      <c r="E3" s="4">
        <v>1120.0</v>
      </c>
      <c r="F3" s="4">
        <v>217.0</v>
      </c>
      <c r="G3" s="4">
        <v>25.0</v>
      </c>
      <c r="H3" s="4">
        <v>17.0</v>
      </c>
      <c r="I3" s="4">
        <v>21.0</v>
      </c>
      <c r="J3" s="4">
        <v>140.0</v>
      </c>
      <c r="K3" s="4">
        <v>518.0</v>
      </c>
      <c r="L3" s="5">
        <v>632.35</v>
      </c>
      <c r="M3" s="6"/>
    </row>
    <row r="4" ht="14.25" customHeight="1">
      <c r="A4" s="3" t="s">
        <v>14</v>
      </c>
      <c r="B4" s="3" t="s">
        <v>16</v>
      </c>
      <c r="C4" s="4">
        <v>91361.0</v>
      </c>
      <c r="D4" s="4">
        <v>45077.0</v>
      </c>
      <c r="E4" s="4">
        <v>2278.0</v>
      </c>
      <c r="F4" s="4">
        <v>1068.0</v>
      </c>
      <c r="G4" s="4">
        <v>77.0</v>
      </c>
      <c r="H4" s="4">
        <v>29.0</v>
      </c>
      <c r="I4" s="4">
        <v>63.0</v>
      </c>
      <c r="J4" s="4">
        <v>347.0</v>
      </c>
      <c r="K4" s="4">
        <v>1322.0</v>
      </c>
      <c r="L4" s="5">
        <v>619.45</v>
      </c>
      <c r="M4" s="6"/>
    </row>
    <row r="5" ht="14.25" customHeight="1">
      <c r="A5" s="3" t="s">
        <v>14</v>
      </c>
      <c r="B5" s="3" t="s">
        <v>17</v>
      </c>
      <c r="C5" s="4">
        <v>28693.0</v>
      </c>
      <c r="D5" s="4">
        <v>14291.0</v>
      </c>
      <c r="E5" s="4">
        <v>801.0</v>
      </c>
      <c r="F5" s="4">
        <v>320.0</v>
      </c>
      <c r="G5" s="4">
        <v>24.0</v>
      </c>
      <c r="H5" s="4">
        <v>12.0</v>
      </c>
      <c r="I5" s="4">
        <v>27.0</v>
      </c>
      <c r="J5" s="4">
        <v>114.0</v>
      </c>
      <c r="K5" s="4">
        <v>401.0</v>
      </c>
      <c r="L5" s="5">
        <v>598.75</v>
      </c>
      <c r="M5" s="6"/>
    </row>
    <row r="6" ht="14.25" customHeight="1">
      <c r="A6" s="3" t="s">
        <v>14</v>
      </c>
      <c r="B6" s="3" t="s">
        <v>18</v>
      </c>
      <c r="C6" s="4">
        <v>37595.0</v>
      </c>
      <c r="D6" s="4">
        <v>18890.0</v>
      </c>
      <c r="E6" s="4">
        <v>1400.0</v>
      </c>
      <c r="F6" s="4">
        <v>547.0</v>
      </c>
      <c r="G6" s="4">
        <v>48.0</v>
      </c>
      <c r="H6" s="4">
        <v>16.0</v>
      </c>
      <c r="I6" s="4">
        <v>27.0</v>
      </c>
      <c r="J6" s="4">
        <v>203.0</v>
      </c>
      <c r="K6" s="4">
        <v>655.0</v>
      </c>
      <c r="L6" s="5">
        <v>588.54</v>
      </c>
      <c r="M6" s="7">
        <f>SUM(L3:L6)/4</f>
        <v>609.7725</v>
      </c>
    </row>
    <row r="7" ht="14.25" customHeight="1">
      <c r="A7" s="8" t="s">
        <v>19</v>
      </c>
      <c r="B7" s="8" t="s">
        <v>20</v>
      </c>
      <c r="C7" s="9">
        <v>14596.0</v>
      </c>
      <c r="D7" s="9">
        <v>7171.0</v>
      </c>
      <c r="E7" s="9">
        <v>264.0</v>
      </c>
      <c r="F7" s="9">
        <v>223.0</v>
      </c>
      <c r="G7" s="9">
        <v>21.0</v>
      </c>
      <c r="H7" s="9">
        <v>14.0</v>
      </c>
      <c r="I7" s="9">
        <v>21.0</v>
      </c>
      <c r="J7" s="9">
        <v>67.0</v>
      </c>
      <c r="K7" s="9">
        <v>224.0</v>
      </c>
      <c r="L7" s="10">
        <v>582.84</v>
      </c>
      <c r="M7" s="6"/>
    </row>
    <row r="8" ht="14.25" customHeight="1">
      <c r="A8" s="8" t="s">
        <v>19</v>
      </c>
      <c r="B8" s="8" t="s">
        <v>21</v>
      </c>
      <c r="C8" s="9">
        <v>41841.0</v>
      </c>
      <c r="D8" s="9">
        <v>35031.0</v>
      </c>
      <c r="E8" s="9">
        <v>1481.0</v>
      </c>
      <c r="F8" s="9">
        <v>1233.0</v>
      </c>
      <c r="G8" s="9">
        <v>31.0</v>
      </c>
      <c r="H8" s="9">
        <v>32.0</v>
      </c>
      <c r="I8" s="9">
        <v>80.0</v>
      </c>
      <c r="J8" s="9">
        <v>310.0</v>
      </c>
      <c r="K8" s="9">
        <v>947.0</v>
      </c>
      <c r="L8" s="10">
        <v>538.09</v>
      </c>
      <c r="M8" s="6"/>
    </row>
    <row r="9" ht="14.25" customHeight="1">
      <c r="A9" s="8" t="s">
        <v>19</v>
      </c>
      <c r="B9" s="8" t="s">
        <v>22</v>
      </c>
      <c r="C9" s="9">
        <v>14455.0</v>
      </c>
      <c r="D9" s="9">
        <v>7174.0</v>
      </c>
      <c r="E9" s="9">
        <v>484.0</v>
      </c>
      <c r="F9" s="9">
        <v>233.0</v>
      </c>
      <c r="G9" s="9">
        <v>7.0</v>
      </c>
      <c r="H9" s="9">
        <v>4.0</v>
      </c>
      <c r="I9" s="9">
        <v>12.0</v>
      </c>
      <c r="J9" s="9">
        <v>73.0</v>
      </c>
      <c r="K9" s="9">
        <v>232.0</v>
      </c>
      <c r="L9" s="10">
        <v>569.1</v>
      </c>
      <c r="M9" s="6"/>
    </row>
    <row r="10" ht="14.25" customHeight="1">
      <c r="A10" s="8" t="s">
        <v>19</v>
      </c>
      <c r="B10" s="8" t="s">
        <v>23</v>
      </c>
      <c r="C10" s="9">
        <v>133917.0</v>
      </c>
      <c r="D10" s="9">
        <v>59199.0</v>
      </c>
      <c r="E10" s="9">
        <v>3672.0</v>
      </c>
      <c r="F10" s="9">
        <v>2410.0</v>
      </c>
      <c r="G10" s="9">
        <v>153.0</v>
      </c>
      <c r="H10" s="9">
        <v>64.0</v>
      </c>
      <c r="I10" s="9">
        <v>193.0</v>
      </c>
      <c r="J10" s="9">
        <v>657.0</v>
      </c>
      <c r="K10" s="9">
        <v>2356.0</v>
      </c>
      <c r="L10" s="10">
        <v>587.61</v>
      </c>
      <c r="M10" s="6"/>
    </row>
    <row r="11" ht="14.25" customHeight="1">
      <c r="A11" s="8" t="s">
        <v>19</v>
      </c>
      <c r="B11" s="8" t="s">
        <v>24</v>
      </c>
      <c r="C11" s="9">
        <v>19720.0</v>
      </c>
      <c r="D11" s="9">
        <v>10765.0</v>
      </c>
      <c r="E11" s="9">
        <v>650.0</v>
      </c>
      <c r="F11" s="9">
        <v>390.0</v>
      </c>
      <c r="G11" s="9">
        <v>17.0</v>
      </c>
      <c r="H11" s="9">
        <v>8.0</v>
      </c>
      <c r="I11" s="9">
        <v>19.0</v>
      </c>
      <c r="J11" s="9">
        <v>85.0</v>
      </c>
      <c r="K11" s="9">
        <v>315.0</v>
      </c>
      <c r="L11" s="10">
        <v>581.85</v>
      </c>
      <c r="M11" s="6"/>
    </row>
    <row r="12" ht="14.25" customHeight="1">
      <c r="A12" s="8" t="s">
        <v>19</v>
      </c>
      <c r="B12" s="8" t="s">
        <v>25</v>
      </c>
      <c r="C12" s="9">
        <v>4953.0</v>
      </c>
      <c r="D12" s="9">
        <v>3030.0</v>
      </c>
      <c r="E12" s="9">
        <v>231.0</v>
      </c>
      <c r="F12" s="9">
        <v>80.0</v>
      </c>
      <c r="G12" s="9">
        <v>1.0</v>
      </c>
      <c r="H12" s="9">
        <v>1.0</v>
      </c>
      <c r="I12" s="9">
        <v>9.0</v>
      </c>
      <c r="J12" s="9">
        <v>29.0</v>
      </c>
      <c r="K12" s="9">
        <v>100.0</v>
      </c>
      <c r="L12" s="10">
        <v>571.39</v>
      </c>
      <c r="M12" s="6"/>
    </row>
    <row r="13" ht="14.25" customHeight="1">
      <c r="A13" s="8" t="s">
        <v>19</v>
      </c>
      <c r="B13" s="8" t="s">
        <v>26</v>
      </c>
      <c r="C13" s="9">
        <v>19232.0</v>
      </c>
      <c r="D13" s="9">
        <v>9019.0</v>
      </c>
      <c r="E13" s="9">
        <v>454.0</v>
      </c>
      <c r="F13" s="9">
        <v>340.0</v>
      </c>
      <c r="G13" s="9">
        <v>12.0</v>
      </c>
      <c r="H13" s="9">
        <v>12.0</v>
      </c>
      <c r="I13" s="9">
        <v>17.0</v>
      </c>
      <c r="J13" s="9">
        <v>81.0</v>
      </c>
      <c r="K13" s="9">
        <v>273.0</v>
      </c>
      <c r="L13" s="10">
        <v>598.77</v>
      </c>
      <c r="M13" s="11">
        <f>SUM(L7:L13)/7</f>
        <v>575.6642857</v>
      </c>
    </row>
    <row r="14" ht="14.25" customHeight="1">
      <c r="A14" s="12" t="s">
        <v>27</v>
      </c>
      <c r="B14" s="12" t="s">
        <v>28</v>
      </c>
      <c r="C14" s="13">
        <v>43183.0</v>
      </c>
      <c r="D14" s="13">
        <v>17985.0</v>
      </c>
      <c r="E14" s="13">
        <v>1233.0</v>
      </c>
      <c r="F14" s="13">
        <v>492.0</v>
      </c>
      <c r="G14" s="13">
        <v>25.0</v>
      </c>
      <c r="H14" s="13">
        <v>13.0</v>
      </c>
      <c r="I14" s="13">
        <v>41.0</v>
      </c>
      <c r="J14" s="13">
        <v>205.0</v>
      </c>
      <c r="K14" s="13">
        <v>768.0</v>
      </c>
      <c r="L14" s="14">
        <v>604.53</v>
      </c>
      <c r="M14" s="6"/>
    </row>
    <row r="15" ht="14.25" customHeight="1">
      <c r="A15" s="12" t="s">
        <v>27</v>
      </c>
      <c r="B15" s="12" t="s">
        <v>29</v>
      </c>
      <c r="C15" s="13">
        <v>183862.0</v>
      </c>
      <c r="D15" s="13">
        <v>71722.0</v>
      </c>
      <c r="E15" s="13">
        <v>3811.0</v>
      </c>
      <c r="F15" s="13">
        <v>1732.0</v>
      </c>
      <c r="G15" s="13">
        <v>141.0</v>
      </c>
      <c r="H15" s="13">
        <v>55.0</v>
      </c>
      <c r="I15" s="13">
        <v>166.0</v>
      </c>
      <c r="J15" s="13">
        <v>688.0</v>
      </c>
      <c r="K15" s="13">
        <v>2989.0</v>
      </c>
      <c r="L15" s="14">
        <v>608.94</v>
      </c>
      <c r="M15" s="6"/>
    </row>
    <row r="16" ht="14.25" customHeight="1">
      <c r="A16" s="12" t="s">
        <v>27</v>
      </c>
      <c r="B16" s="12" t="s">
        <v>30</v>
      </c>
      <c r="C16" s="13">
        <v>150973.0</v>
      </c>
      <c r="D16" s="13">
        <v>60955.0</v>
      </c>
      <c r="E16" s="13">
        <v>6253.0</v>
      </c>
      <c r="F16" s="13">
        <v>3792.0</v>
      </c>
      <c r="G16" s="13">
        <v>187.0</v>
      </c>
      <c r="H16" s="13">
        <v>70.0</v>
      </c>
      <c r="I16" s="13">
        <v>159.0</v>
      </c>
      <c r="J16" s="13">
        <v>884.0</v>
      </c>
      <c r="K16" s="13">
        <v>3104.0</v>
      </c>
      <c r="L16" s="14">
        <v>595.46</v>
      </c>
      <c r="M16" s="6"/>
    </row>
    <row r="17" ht="14.25" customHeight="1">
      <c r="A17" s="12" t="s">
        <v>27</v>
      </c>
      <c r="B17" s="12" t="s">
        <v>31</v>
      </c>
      <c r="C17" s="13">
        <v>89093.0</v>
      </c>
      <c r="D17" s="13">
        <v>37371.0</v>
      </c>
      <c r="E17" s="13">
        <v>2390.0</v>
      </c>
      <c r="F17" s="13">
        <v>1492.0</v>
      </c>
      <c r="G17" s="13">
        <v>91.0</v>
      </c>
      <c r="H17" s="13">
        <v>28.0</v>
      </c>
      <c r="I17" s="13">
        <v>104.0</v>
      </c>
      <c r="J17" s="13">
        <v>437.0</v>
      </c>
      <c r="K17" s="13">
        <v>1910.0</v>
      </c>
      <c r="L17" s="14">
        <v>586.38</v>
      </c>
      <c r="M17" s="6"/>
    </row>
    <row r="18" ht="14.25" customHeight="1">
      <c r="A18" s="12" t="s">
        <v>27</v>
      </c>
      <c r="B18" s="12" t="s">
        <v>32</v>
      </c>
      <c r="C18" s="13">
        <v>71866.0</v>
      </c>
      <c r="D18" s="13">
        <v>26988.0</v>
      </c>
      <c r="E18" s="13">
        <v>1940.0</v>
      </c>
      <c r="F18" s="13">
        <v>1027.0</v>
      </c>
      <c r="G18" s="13">
        <v>65.0</v>
      </c>
      <c r="H18" s="13">
        <v>15.0</v>
      </c>
      <c r="I18" s="13">
        <v>43.0</v>
      </c>
      <c r="J18" s="13">
        <v>313.0</v>
      </c>
      <c r="K18" s="13">
        <v>981.0</v>
      </c>
      <c r="L18" s="14">
        <v>620.61</v>
      </c>
      <c r="M18" s="6"/>
    </row>
    <row r="19" ht="14.25" customHeight="1">
      <c r="A19" s="12" t="s">
        <v>27</v>
      </c>
      <c r="B19" s="12" t="s">
        <v>33</v>
      </c>
      <c r="C19" s="13">
        <v>128503.0</v>
      </c>
      <c r="D19" s="13">
        <v>51760.0</v>
      </c>
      <c r="E19" s="13">
        <v>4482.0</v>
      </c>
      <c r="F19" s="13">
        <v>1888.0</v>
      </c>
      <c r="G19" s="13">
        <v>112.0</v>
      </c>
      <c r="H19" s="13">
        <v>40.0</v>
      </c>
      <c r="I19" s="13">
        <v>91.0</v>
      </c>
      <c r="J19" s="13">
        <v>695.0</v>
      </c>
      <c r="K19" s="13">
        <v>2024.0</v>
      </c>
      <c r="L19" s="14">
        <v>607.64</v>
      </c>
      <c r="M19" s="6"/>
    </row>
    <row r="20" ht="14.25" customHeight="1">
      <c r="A20" s="12" t="s">
        <v>27</v>
      </c>
      <c r="B20" s="12" t="s">
        <v>34</v>
      </c>
      <c r="C20" s="13">
        <v>59139.0</v>
      </c>
      <c r="D20" s="13">
        <v>21456.0</v>
      </c>
      <c r="E20" s="13">
        <v>1207.0</v>
      </c>
      <c r="F20" s="13">
        <v>1345.0</v>
      </c>
      <c r="G20" s="13">
        <v>48.0</v>
      </c>
      <c r="H20" s="13">
        <v>13.0</v>
      </c>
      <c r="I20" s="13">
        <v>46.0</v>
      </c>
      <c r="J20" s="13">
        <v>214.0</v>
      </c>
      <c r="K20" s="13">
        <v>932.0</v>
      </c>
      <c r="L20" s="14">
        <v>612.36</v>
      </c>
      <c r="M20" s="6"/>
    </row>
    <row r="21" ht="14.25" customHeight="1">
      <c r="A21" s="12" t="s">
        <v>27</v>
      </c>
      <c r="B21" s="12" t="s">
        <v>35</v>
      </c>
      <c r="C21" s="13">
        <v>62045.0</v>
      </c>
      <c r="D21" s="13">
        <v>22785.0</v>
      </c>
      <c r="E21" s="13">
        <v>1390.0</v>
      </c>
      <c r="F21" s="13">
        <v>585.0</v>
      </c>
      <c r="G21" s="13">
        <v>108.0</v>
      </c>
      <c r="H21" s="13">
        <v>25.0</v>
      </c>
      <c r="I21" s="13">
        <v>50.0</v>
      </c>
      <c r="J21" s="13">
        <v>235.0</v>
      </c>
      <c r="K21" s="13">
        <v>826.0</v>
      </c>
      <c r="L21" s="14">
        <v>619.97</v>
      </c>
      <c r="M21" s="6"/>
    </row>
    <row r="22" ht="14.25" customHeight="1">
      <c r="A22" s="12" t="s">
        <v>27</v>
      </c>
      <c r="B22" s="12" t="s">
        <v>36</v>
      </c>
      <c r="C22" s="13">
        <v>41577.0</v>
      </c>
      <c r="D22" s="13">
        <v>14202.0</v>
      </c>
      <c r="E22" s="13">
        <v>1099.0</v>
      </c>
      <c r="F22" s="13">
        <v>604.0</v>
      </c>
      <c r="G22" s="13">
        <v>28.0</v>
      </c>
      <c r="H22" s="13">
        <v>9.0</v>
      </c>
      <c r="I22" s="13">
        <v>43.0</v>
      </c>
      <c r="J22" s="13">
        <v>161.0</v>
      </c>
      <c r="K22" s="13">
        <v>589.0</v>
      </c>
      <c r="L22" s="14">
        <v>625.42</v>
      </c>
      <c r="M22" s="15">
        <f>SUM(L14:L22)/9</f>
        <v>609.0344444</v>
      </c>
    </row>
    <row r="23" ht="14.25" customHeight="1">
      <c r="A23" s="16" t="s">
        <v>37</v>
      </c>
      <c r="B23" s="16" t="s">
        <v>38</v>
      </c>
      <c r="C23" s="17">
        <v>103046.0</v>
      </c>
      <c r="D23" s="17">
        <v>43214.0</v>
      </c>
      <c r="E23" s="17">
        <v>1729.0</v>
      </c>
      <c r="F23" s="17">
        <v>944.0</v>
      </c>
      <c r="G23" s="17">
        <v>85.0</v>
      </c>
      <c r="H23" s="17">
        <v>30.0</v>
      </c>
      <c r="I23" s="17">
        <v>51.0</v>
      </c>
      <c r="J23" s="17">
        <v>278.0</v>
      </c>
      <c r="K23" s="17">
        <v>1019.0</v>
      </c>
      <c r="L23" s="18">
        <v>614.37</v>
      </c>
      <c r="M23" s="6"/>
    </row>
    <row r="24" ht="14.25" customHeight="1">
      <c r="A24" s="16" t="s">
        <v>37</v>
      </c>
      <c r="B24" s="16" t="s">
        <v>39</v>
      </c>
      <c r="C24" s="17">
        <v>104840.0</v>
      </c>
      <c r="D24" s="17">
        <v>42822.0</v>
      </c>
      <c r="E24" s="17">
        <v>2580.0</v>
      </c>
      <c r="F24" s="17">
        <v>520.0</v>
      </c>
      <c r="G24" s="17">
        <v>101.0</v>
      </c>
      <c r="H24" s="17">
        <v>35.0</v>
      </c>
      <c r="I24" s="17">
        <v>49.0</v>
      </c>
      <c r="J24" s="17">
        <v>337.0</v>
      </c>
      <c r="K24" s="17">
        <v>1011.0</v>
      </c>
      <c r="L24" s="18">
        <v>627.51</v>
      </c>
      <c r="M24" s="6"/>
    </row>
    <row r="25" ht="14.25" customHeight="1">
      <c r="A25" s="16" t="s">
        <v>37</v>
      </c>
      <c r="B25" s="16" t="s">
        <v>40</v>
      </c>
      <c r="C25" s="17">
        <v>57787.0</v>
      </c>
      <c r="D25" s="17">
        <v>22664.0</v>
      </c>
      <c r="E25" s="17">
        <v>1346.0</v>
      </c>
      <c r="F25" s="17">
        <v>295.0</v>
      </c>
      <c r="G25" s="17">
        <v>31.0</v>
      </c>
      <c r="H25" s="17">
        <v>9.0</v>
      </c>
      <c r="I25" s="17">
        <v>19.0</v>
      </c>
      <c r="J25" s="17">
        <v>220.0</v>
      </c>
      <c r="K25" s="17">
        <v>420.0</v>
      </c>
      <c r="L25" s="18">
        <v>634.9</v>
      </c>
      <c r="M25" s="19">
        <f t="array" ref="M25">SUM(L23:L25/3)</f>
        <v>625.5933333</v>
      </c>
    </row>
    <row r="26" ht="14.25" customHeight="1">
      <c r="A26" s="20" t="s">
        <v>36</v>
      </c>
      <c r="B26" s="20" t="s">
        <v>41</v>
      </c>
      <c r="C26" s="21">
        <v>43182.0</v>
      </c>
      <c r="D26" s="21">
        <v>18407.0</v>
      </c>
      <c r="E26" s="21">
        <v>1121.0</v>
      </c>
      <c r="F26" s="21">
        <v>358.0</v>
      </c>
      <c r="G26" s="21">
        <v>29.0</v>
      </c>
      <c r="H26" s="21">
        <v>14.0</v>
      </c>
      <c r="I26" s="21">
        <v>21.0</v>
      </c>
      <c r="J26" s="21">
        <v>168.0</v>
      </c>
      <c r="K26" s="21">
        <v>400.0</v>
      </c>
      <c r="L26" s="22">
        <v>638.24</v>
      </c>
      <c r="M26" s="6"/>
    </row>
    <row r="27" ht="14.25" customHeight="1">
      <c r="A27" s="20" t="s">
        <v>36</v>
      </c>
      <c r="B27" s="20" t="s">
        <v>42</v>
      </c>
      <c r="C27" s="21">
        <v>217330.0</v>
      </c>
      <c r="D27" s="21">
        <v>83721.0</v>
      </c>
      <c r="E27" s="21">
        <v>4011.0</v>
      </c>
      <c r="F27" s="21">
        <v>1665.0</v>
      </c>
      <c r="G27" s="21">
        <v>168.0</v>
      </c>
      <c r="H27" s="21">
        <v>62.0</v>
      </c>
      <c r="I27" s="21">
        <v>108.0</v>
      </c>
      <c r="J27" s="21">
        <v>649.0</v>
      </c>
      <c r="K27" s="21">
        <v>2067.0</v>
      </c>
      <c r="L27" s="22">
        <v>655.93</v>
      </c>
      <c r="M27" s="6"/>
    </row>
    <row r="28" ht="14.25" customHeight="1">
      <c r="A28" s="20" t="s">
        <v>36</v>
      </c>
      <c r="B28" s="20" t="s">
        <v>43</v>
      </c>
      <c r="C28" s="21">
        <v>171676.0</v>
      </c>
      <c r="D28" s="21">
        <v>71158.0</v>
      </c>
      <c r="E28" s="21">
        <v>3687.0</v>
      </c>
      <c r="F28" s="21">
        <v>1072.0</v>
      </c>
      <c r="G28" s="21">
        <v>150.0</v>
      </c>
      <c r="H28" s="21">
        <v>60.0</v>
      </c>
      <c r="I28" s="21">
        <v>103.0</v>
      </c>
      <c r="J28" s="21">
        <v>664.0</v>
      </c>
      <c r="K28" s="21">
        <v>2320.0</v>
      </c>
      <c r="L28" s="22">
        <v>635.78</v>
      </c>
      <c r="M28" s="6"/>
    </row>
    <row r="29" ht="14.25" customHeight="1">
      <c r="A29" s="20" t="s">
        <v>36</v>
      </c>
      <c r="B29" s="20" t="s">
        <v>44</v>
      </c>
      <c r="C29" s="21">
        <v>383826.0</v>
      </c>
      <c r="D29" s="21">
        <v>147787.0</v>
      </c>
      <c r="E29" s="21">
        <v>5918.0</v>
      </c>
      <c r="F29" s="21">
        <v>2069.0</v>
      </c>
      <c r="G29" s="21">
        <v>281.0</v>
      </c>
      <c r="H29" s="21">
        <v>96.0</v>
      </c>
      <c r="I29" s="21">
        <v>165.0</v>
      </c>
      <c r="J29" s="21">
        <v>1012.0</v>
      </c>
      <c r="K29" s="21">
        <v>3288.0</v>
      </c>
      <c r="L29" s="22">
        <v>640.16</v>
      </c>
      <c r="M29" s="23">
        <f t="array" ref="M29">SUM(L26:L29/4)</f>
        <v>642.5275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L1"/>
  </mergeCells>
  <printOptions/>
  <pageMargins bottom="0.75" footer="0.0" header="0.0" left="0.7" right="0.7" top="0.75"/>
  <pageSetup paperSize="9" orientation="landscape"/>
  <drawing r:id="rId1"/>
  <tableParts count="1">
    <tablePart r:id="rId3"/>
  </tableParts>
</worksheet>
</file>